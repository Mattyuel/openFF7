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Checklist" sheetId="2" state="visible" r:id="rId4"/>
  </sheets>
  <definedNames>
    <definedName function="false" hidden="true" localSheetId="1" name="_xlnm._FilterDatabase" vbProcedure="false">Checklist!$A$1:$J$37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Fill in: pick Not tested / Pass / Fail / Partly from the dropdown. Put details in Notes.</t>
        </r>
      </text>
    </comment>
  </commentList>
</comments>
</file>

<file path=xl/sharedStrings.xml><?xml version="1.0" encoding="utf-8"?>
<sst xmlns="http://schemas.openxmlformats.org/spreadsheetml/2006/main" count="285" uniqueCount="193">
  <si>
    <t xml:space="preserve">openFF7 test checklist</t>
  </si>
  <si>
    <t xml:space="preserve">Fill in the yellow Result and Notes columns on the Checklist tab; this tab counts them.</t>
  </si>
  <si>
    <t xml:space="preserve">Result</t>
  </si>
  <si>
    <t xml:space="preserve">Count</t>
  </si>
  <si>
    <t xml:space="preserve">Pass</t>
  </si>
  <si>
    <t xml:space="preserve">Fail</t>
  </si>
  <si>
    <t xml:space="preserve">Partly</t>
  </si>
  <si>
    <t xml:space="preserve">Not tested</t>
  </si>
  <si>
    <t xml:space="preserve">Total</t>
  </si>
  <si>
    <t xml:space="preserve">Done (Pass + Fail + Partly)</t>
  </si>
  <si>
    <t xml:space="preserve">High-priority still not tested</t>
  </si>
  <si>
    <t xml:space="preserve">#</t>
  </si>
  <si>
    <t xml:space="preserve">Priority</t>
  </si>
  <si>
    <t xml:space="preserve">Area</t>
  </si>
  <si>
    <t xml:space="preserve">Feature</t>
  </si>
  <si>
    <t xml:space="preserve">Where</t>
  </si>
  <si>
    <t xml:space="preserve">How to test</t>
  </si>
  <si>
    <t xml:space="preserve">Expected</t>
  </si>
  <si>
    <t xml:space="preserve">Shortcut</t>
  </si>
  <si>
    <t xml:space="preserve">Notes</t>
  </si>
  <si>
    <t xml:space="preserve">High</t>
  </si>
  <si>
    <t xml:space="preserve">Install</t>
  </si>
  <si>
    <t xml:space="preserve">Copy the new files</t>
  </si>
  <si>
    <t xml:space="preserve">Steam folder</t>
  </si>
  <si>
    <t xml:space="preserve">Build (normal or --debug). Copy flevel.lgp, char.lgp, KERNEL.BIN, kernel2.bin, world_us.lgp, ff7_en.exe over the originals (rename originals to .original). Check sizes match what the build printed.</t>
  </si>
  <si>
    <t xml:space="preserve">Game starts; New Game works.</t>
  </si>
  <si>
    <t xml:space="preserve">Honey Bee: scenes</t>
  </si>
  <si>
    <t xml:space="preserve">Tifa / Velvet affection-20 scenes load</t>
  </si>
  <si>
    <t xml:space="preserve">Honey Bee Inn manager -&gt; Visit</t>
  </si>
  <si>
    <t xml:space="preserve">Set all affection 20, hire all, visit Tifa then Velvet.</t>
  </si>
  <si>
    <t xml:space="preserve">Room fades in (no stuck black screen); she walks in behind Cloud; scene plays to the end.</t>
  </si>
  <si>
    <t xml:space="preserve">Debug menu (L1+R1): Honey Bee -&gt; Job + hire all; All affection 20; Travel -&gt; Honey Bee Inn</t>
  </si>
  <si>
    <t xml:space="preserve">Every affection-20 scene loads and finishes</t>
  </si>
  <si>
    <t xml:space="preserve">Manager -&gt; Visit (each girl)</t>
  </si>
  <si>
    <t xml:space="preserve">Visit all 20 girls at affection 20.</t>
  </si>
  <si>
    <t xml:space="preserve">Each: part 1 she walks in, fade, part 2 position, final fade line, back in the lobby.</t>
  </si>
  <si>
    <t xml:space="preserve">Debug menu (L1+R1): as above</t>
  </si>
  <si>
    <t xml:space="preserve">Girls walk in (no one starts on the bed)</t>
  </si>
  <si>
    <t xml:space="preserve">Affection-10 and -20 visits</t>
  </si>
  <si>
    <t xml:space="preserve">Visit Bambi at 10 and 20; any girl at 20.</t>
  </si>
  <si>
    <t xml:space="preserve">She enters by the door after Cloud in part 1 (only Bambi's basic scene starts on the bed).</t>
  </si>
  <si>
    <t xml:space="preserve">Debug menu (L1+R1): All affection 10 / 20</t>
  </si>
  <si>
    <t xml:space="preserve">Honey Bee: bare Cloud</t>
  </si>
  <si>
    <t xml:space="preserve">Model swap at the bed</t>
  </si>
  <si>
    <t xml:space="preserve">Any affection-20 scene</t>
  </si>
  <si>
    <t xml:space="preserve">Watch the fade to the bed.</t>
  </si>
  <si>
    <t xml:space="preserve">After the fade only one Cloud is visible: skin-coloured legs, normal top. No Cloud left standing in the room.</t>
  </si>
  <si>
    <t xml:space="preserve">Knees</t>
  </si>
  <si>
    <t xml:space="preserve">Any affection-20 scene, part 2</t>
  </si>
  <si>
    <t xml:space="preserve">Look at his knees in each position.</t>
  </si>
  <si>
    <t xml:space="preserve">No spike/point at the knee; legs not bulging at the knee.</t>
  </si>
  <si>
    <t xml:space="preserve">Honey Bee: camera</t>
  </si>
  <si>
    <t xml:space="preserve">Camera follows to the bed</t>
  </si>
  <si>
    <t xml:space="preserve">After the fade to the bed.</t>
  </si>
  <si>
    <t xml:space="preserve">View is centred on the bed (shifted right), not left where Cloud stood.</t>
  </si>
  <si>
    <t xml:space="preserve">Honey Bee: positions</t>
  </si>
  <si>
    <t xml:space="preserve">Mission</t>
  </si>
  <si>
    <t xml:space="preserve">Tifa, Marisol, Bambi (affection 20)</t>
  </si>
  <si>
    <t xml:space="preserve">Part 2.</t>
  </si>
  <si>
    <t xml:space="preserve">Girl lying on her back; Cloud on top using the new belly animation (legs straight back, slow hips). Report offsets (body ~90 units, head ~14).</t>
  </si>
  <si>
    <t xml:space="preserve">Debug menu (L1+R1): All affection 20</t>
  </si>
  <si>
    <t xml:space="preserve">Cowgirl</t>
  </si>
  <si>
    <t xml:space="preserve">Velvet, Ruby, Peggy</t>
  </si>
  <si>
    <t xml:space="preserve">Cloud on his back; girl kneeling astride, rocking, at the right height; Cloud half a body further back than before.</t>
  </si>
  <si>
    <t xml:space="preserve">Ontop (reverse)</t>
  </si>
  <si>
    <t xml:space="preserve">Aerith, Celeste, Holly, Lulu, Gloria</t>
  </si>
  <si>
    <t xml:space="preserve">As cowgirl, girl facing the other way.</t>
  </si>
  <si>
    <t xml:space="preserve">Dog</t>
  </si>
  <si>
    <t xml:space="preserve">Scarlet, Mags, Elena, Rhonda, Dot</t>
  </si>
  <si>
    <t xml:space="preserve">Girl on all fours rocking (0.5 s, starts rocked back); Cloud kneeling behind with a 0.5 s looping hip thrust; knees/feet planted.</t>
  </si>
  <si>
    <t xml:space="preserve">Head</t>
  </si>
  <si>
    <t xml:space="preserve">Sakura, Aurora, Candy, Raven</t>
  </si>
  <si>
    <t xml:space="preserve">Cloud sitting on the bed edge, legs spread ~30 degrees each (/\); girl kneeling in front of him, facing him, not hidden by the bed's foot.</t>
  </si>
  <si>
    <t xml:space="preserve">Honey Bee: bed drawing</t>
  </si>
  <si>
    <t xml:space="preserve">Bed no longer covers people on it</t>
  </si>
  <si>
    <t xml:space="preserve">All visit rooms + lounges</t>
  </si>
  <si>
    <t xml:space="preserve">Watch girls/Cloud lying, sitting, kneeling on the bed.</t>
  </si>
  <si>
    <t xml:space="preserve">No strip of bed drawn over anyone on the bed.</t>
  </si>
  <si>
    <t xml:space="preserve">People behind the bed stay hidden</t>
  </si>
  <si>
    <t xml:space="preserve">Lounges</t>
  </si>
  <si>
    <t xml:space="preserve">Walk Cloud behind the far end of the bed (by the headboard).</t>
  </si>
  <si>
    <t xml:space="preserve">The bed still hides the parts of him behind it.</t>
  </si>
  <si>
    <t xml:space="preserve">Medium</t>
  </si>
  <si>
    <t xml:space="preserve">Honey Bee: rooms</t>
  </si>
  <si>
    <t xml:space="preserve">Dimmed visit rooms</t>
  </si>
  <si>
    <t xml:space="preserve">All 3 visit rooms</t>
  </si>
  <si>
    <t xml:space="preserve">Any visit.</t>
  </si>
  <si>
    <t xml:space="preserve">Room and characters at about half brightness; still readable. Lounges unchanged.</t>
  </si>
  <si>
    <t xml:space="preserve">Honey Bee: kids</t>
  </si>
  <si>
    <t xml:space="preserve">Kid appears after the affection-20 scene</t>
  </si>
  <si>
    <t xml:space="preserve">Each girl's hiring spot</t>
  </si>
  <si>
    <t xml:space="preserve">Finish a girl's affection-20 scene, then go to her spot.</t>
  </si>
  <si>
    <t xml:space="preserve">A kid stands beside her and says one line about 'Mom'; before the scene no kid. Rhonda's kid: outside the Nibelheim inn door. Velvet's: Battle Square entrance.</t>
  </si>
  <si>
    <t xml:space="preserve">Debug menu (L1+R1): Honey Bee -&gt; All 20 kids</t>
  </si>
  <si>
    <t xml:space="preserve">Kid placement</t>
  </si>
  <si>
    <t xml:space="preserve">All 20 spots</t>
  </si>
  <si>
    <t xml:space="preserve">Look at each kid.</t>
  </si>
  <si>
    <t xml:space="preserve">Not off screen, not in a wall, not overlapping the girl or blocking a path.</t>
  </si>
  <si>
    <t xml:space="preserve">Debug menu (L1+R1): All 20 kids + Travel</t>
  </si>
  <si>
    <t xml:space="preserve">Honey Bee: recruit</t>
  </si>
  <si>
    <t xml:space="preserve">Aerith's new spot</t>
  </si>
  <si>
    <t xml:space="preserve">Temple of the Ancients, inside the door (altar room)</t>
  </si>
  <si>
    <t xml:space="preserve">Enter the temple door.</t>
  </si>
  <si>
    <t xml:space="preserve">Aerith stands on the floor left of the keystone altar; altar still reachable.</t>
  </si>
  <si>
    <t xml:space="preserve">All 20 girls findable</t>
  </si>
  <si>
    <t xml:space="preserve">See TESTING.md list</t>
  </si>
  <si>
    <t xml:space="preserve">Visit each spot before/after taking the job.</t>
  </si>
  <si>
    <t xml:space="preserve">Each visible and talkable; questions work; hiring adds her to the manager's list.</t>
  </si>
  <si>
    <t xml:space="preserve">Debug menu (L1+R1): Travel</t>
  </si>
  <si>
    <t xml:space="preserve">Honey Bee: lounges</t>
  </si>
  <si>
    <t xml:space="preserve">Four lounges + mirrored room</t>
  </si>
  <si>
    <t xml:space="preserve">Honey Bee Inn side doors</t>
  </si>
  <si>
    <t xml:space="preserve">Walk through each door.</t>
  </si>
  <si>
    <t xml:space="preserve">Hired girls in poses; talk shows affection; exit line before the door with door sound; mirrored room looks right.</t>
  </si>
  <si>
    <t xml:space="preserve">Debug menu (L1+R1): Job + hire all</t>
  </si>
  <si>
    <t xml:space="preserve">Honey Bee: gifts</t>
  </si>
  <si>
    <t xml:space="preserve">Gift merchants and giving</t>
  </si>
  <si>
    <t xml:space="preserve">Wall Market, Costa del Sol, Cosmo Canyon, Wutai; lounges</t>
  </si>
  <si>
    <t xml:space="preserve">Buy gifts; give one to a girl.</t>
  </si>
  <si>
    <t xml:space="preserve">Key item appears with name/description; only held gifts offered; affection rises by 2/1/0.</t>
  </si>
  <si>
    <t xml:space="preserve">Debug menu (L1+R1): All 12 gifts</t>
  </si>
  <si>
    <t xml:space="preserve">Honey Bee: income</t>
  </si>
  <si>
    <t xml:space="preserve">Collect earnings</t>
  </si>
  <si>
    <t xml:space="preserve">Manager</t>
  </si>
  <si>
    <t xml:space="preserve">Collect after some minutes.</t>
  </si>
  <si>
    <t xml:space="preserve">Gil shown in the line matches gil received.</t>
  </si>
  <si>
    <t xml:space="preserve">Temple</t>
  </si>
  <si>
    <t xml:space="preserve">Way out of the temple</t>
  </si>
  <si>
    <t xml:space="preserve">Inside, after the altar warp</t>
  </si>
  <si>
    <t xml:space="preserve">Talk to the Temple Guide beside where you land.</t>
  </si>
  <si>
    <t xml:space="preserve">'Take me outside.' puts you in front of the temple door; 'Not yet.' does nothing.</t>
  </si>
  <si>
    <t xml:space="preserve">Debug menu (L1+R1): Travel -&gt; Temple of Ancients</t>
  </si>
  <si>
    <t xml:space="preserve">Way in</t>
  </si>
  <si>
    <t xml:space="preserve">Temple entrance -&gt; door -&gt; altar</t>
  </si>
  <si>
    <t xml:space="preserve">Press OK at the altar.</t>
  </si>
  <si>
    <t xml:space="preserve">Warp light, then you're inside and can move.</t>
  </si>
  <si>
    <t xml:space="preserve">Quest giver spot</t>
  </si>
  <si>
    <t xml:space="preserve">Temple entrance screen</t>
  </si>
  <si>
    <t xml:space="preserve">Look at the archaeologist.</t>
  </si>
  <si>
    <t xml:space="preserve">Just right of the path from the bridge to the exit; doesn't block it.</t>
  </si>
  <si>
    <t xml:space="preserve">Temple open up to the Demon Wall</t>
  </si>
  <si>
    <t xml:space="preserve">Inside the temple</t>
  </si>
  <si>
    <t xml:space="preserve">Explore.</t>
  </si>
  <si>
    <t xml:space="preserve">No story scenes; rooms traversable; Ancient Dragon still fights in its room.</t>
  </si>
  <si>
    <t xml:space="preserve">Bounties</t>
  </si>
  <si>
    <t xml:space="preserve">Scoop in 8 bars</t>
  </si>
  <si>
    <t xml:space="preserve">7th Heaven, Kalm, Junon, Costa, Cosmo, Nibelheim inn, Wutai, Icicle</t>
  </si>
  <si>
    <t xml:space="preserve">Take a bounty, kill, return.</t>
  </si>
  <si>
    <t xml:space="preserve">Listed first in Quests with time left; payout gil + Hunter points; rank-up line.</t>
  </si>
  <si>
    <t xml:space="preserve">Hunt Quartermaster</t>
  </si>
  <si>
    <t xml:space="preserve">Sector 7 station, Junon, ropeway, Rocket Town</t>
  </si>
  <si>
    <t xml:space="preserve">Open menu at each rank.</t>
  </si>
  <si>
    <t xml:space="preserve">Locked tiers refuse; buying takes gil and gives the item; sizes look right (Junon smaller etc.).</t>
  </si>
  <si>
    <t xml:space="preserve">Debug menu (L1+R1): Hunter points +50, Gil</t>
  </si>
  <si>
    <t xml:space="preserve">Quests</t>
  </si>
  <si>
    <t xml:space="preserve">World quest givers + boss lines</t>
  </si>
  <si>
    <t xml:space="preserve">Kalm to Gaea's Cliff (21 givers)</t>
  </si>
  <si>
    <t xml:space="preserve">Accept quests, walk to boss spots.</t>
  </si>
  <si>
    <t xml:space="preserve">Markers show; boss fights start at their spot once per visit.</t>
  </si>
  <si>
    <t xml:space="preserve">Quests menu</t>
  </si>
  <si>
    <t xml:space="preserve">Main menu</t>
  </si>
  <si>
    <t xml:space="preserve">Open Quests.</t>
  </si>
  <si>
    <t xml:space="preserve">Rows, colours, scrolling, 'Hunter: rank (points)' line fit the windows.</t>
  </si>
  <si>
    <t xml:space="preserve">Debug</t>
  </si>
  <si>
    <t xml:space="preserve">Debug menu</t>
  </si>
  <si>
    <t xml:space="preserve">Any field</t>
  </si>
  <si>
    <t xml:space="preserve">Hold L1+R1.</t>
  </si>
  <si>
    <t xml:space="preserve">Menu opens; travel, gil, encounters off/on and Honey Bee shortcuts work.</t>
  </si>
  <si>
    <t xml:space="preserve">Low</t>
  </si>
  <si>
    <t xml:space="preserve">Recruits</t>
  </si>
  <si>
    <t xml:space="preserve">Recruit NPCs</t>
  </si>
  <si>
    <t xml:space="preserve">Tifa 7th Heaven, Aerith church, Barret No.1 platform, Red XIII 67F, Cid Junon airstrip, Cait Sith Costa beach, Yuffie Chocobo Ranch, Vincent Honey Bee dancers' room</t>
  </si>
  <si>
    <t xml:space="preserve">Talk, choose yes.</t>
  </si>
  <si>
    <t xml:space="preserve">Joins party, no naming screen, turns to face you.</t>
  </si>
  <si>
    <t xml:space="preserve">Vehicles</t>
  </si>
  <si>
    <t xml:space="preserve">Buggy / Highwind / chocobo rides</t>
  </si>
  <si>
    <t xml:space="preserve">Costa del Sol exit, Junon runway, Midgar outskirts / Mythril Mine</t>
  </si>
  <si>
    <t xml:space="preserve">Buy/board.</t>
  </si>
  <si>
    <t xml:space="preserve">Vehicle on the world map near the right place; stays after landing/saving.</t>
  </si>
  <si>
    <t xml:space="preserve">Midgar</t>
  </si>
  <si>
    <t xml:space="preserve">Train menu and conductors</t>
  </si>
  <si>
    <t xml:space="preserve">Sector 7 station</t>
  </si>
  <si>
    <t xml:space="preserve">Pick each destination.</t>
  </si>
  <si>
    <t xml:space="preserve">Arrive next to a conductor who takes you back.</t>
  </si>
  <si>
    <t xml:space="preserve">Reactors</t>
  </si>
  <si>
    <t xml:space="preserve">No.1 / No.5</t>
  </si>
  <si>
    <t xml:space="preserve">Walk through.</t>
  </si>
  <si>
    <t xml:space="preserve">Doors open; Guard Scorpion / Air Buster fights; elevator goes to the right reactor.</t>
  </si>
  <si>
    <t xml:space="preserve">World</t>
  </si>
  <si>
    <t xml:space="preserve">Quiet world</t>
  </si>
  <si>
    <t xml:space="preserve">All towns</t>
  </si>
  <si>
    <t xml:space="preserve">Walk around.</t>
  </si>
  <si>
    <t xml:space="preserve">No leftover story scenes; report location + what played.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</si>
</sst>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COUNTIF(Checklist!$I$2:$I$37,A5)</f>
        <v>0</v>
      </c>
    </row>
    <row r="6" customFormat="false" ht="15" hidden="false" customHeight="false" outlineLevel="0" collapsed="false">
      <c r="A6" s="4" t="s">
        <v>5</v>
      </c>
      <c r="B6" s="4" t="n">
        <f aca="false">COUNTIF(Checklist!$I$2:$I$37,A6)</f>
        <v>0</v>
      </c>
    </row>
    <row r="7" customFormat="false" ht="15" hidden="false" customHeight="false" outlineLevel="0" collapsed="false">
      <c r="A7" s="4" t="s">
        <v>6</v>
      </c>
      <c r="B7" s="4" t="n">
        <f aca="false">COUNTIF(Checklist!$I$2:$I$37,A7)</f>
        <v>0</v>
      </c>
    </row>
    <row r="8" customFormat="false" ht="15" hidden="false" customHeight="false" outlineLevel="0" collapsed="false">
      <c r="A8" s="4" t="s">
        <v>7</v>
      </c>
      <c r="B8" s="4" t="n">
        <f aca="false">COUNTIF(Checklist!$I$2:$I$37,A8)</f>
        <v>36</v>
      </c>
    </row>
    <row r="9" customFormat="false" ht="15" hidden="false" customHeight="false" outlineLevel="0" collapsed="false">
      <c r="A9" s="3" t="s">
        <v>8</v>
      </c>
      <c r="B9" s="3" t="n">
        <f aca="false">SUM(B5:B8)</f>
        <v>36</v>
      </c>
    </row>
    <row r="10" customFormat="false" ht="15" hidden="false" customHeight="false" outlineLevel="0" collapsed="false">
      <c r="A10" s="4" t="s">
        <v>9</v>
      </c>
      <c r="B10" s="5" t="n">
        <f aca="false">IF(B9=0,0,(B5+B6+B7)/B9)</f>
        <v>0</v>
      </c>
    </row>
    <row r="11" customFormat="false" ht="15" hidden="false" customHeight="false" outlineLevel="0" collapsed="false">
      <c r="A11" s="4"/>
      <c r="B11" s="4"/>
    </row>
    <row r="12" customFormat="false" ht="15" hidden="false" customHeight="false" outlineLevel="0" collapsed="false">
      <c r="A12" s="4" t="s">
        <v>10</v>
      </c>
      <c r="B12" s="4" t="n">
        <f aca="false">COUNTIFS(Checklist!$B$2:$B$37,"High",Checklist!$I$2:$I$37,"Not tested")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48"/>
    <col collapsed="false" customWidth="true" hidden="false" outlineLevel="0" max="7" min="7" style="0" width="58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2</v>
      </c>
      <c r="J1" s="6" t="s">
        <v>19</v>
      </c>
    </row>
    <row r="2" customFormat="false" ht="46.25" hidden="false" customHeight="false" outlineLevel="0" collapsed="false">
      <c r="A2" s="7" t="n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/>
      <c r="I2" s="8" t="s">
        <v>7</v>
      </c>
      <c r="J2" s="8"/>
    </row>
    <row r="3" customFormat="false" ht="35.05" hidden="false" customHeight="false" outlineLevel="0" collapsed="false">
      <c r="A3" s="7" t="n">
        <v>2</v>
      </c>
      <c r="B3" s="7" t="s">
        <v>20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8" t="s">
        <v>7</v>
      </c>
      <c r="J3" s="8"/>
    </row>
    <row r="4" customFormat="false" ht="23.85" hidden="false" customHeight="false" outlineLevel="0" collapsed="false">
      <c r="A4" s="7" t="n">
        <v>3</v>
      </c>
      <c r="B4" s="7" t="s">
        <v>20</v>
      </c>
      <c r="C4" s="7" t="s">
        <v>26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8" t="s">
        <v>7</v>
      </c>
      <c r="J4" s="8"/>
    </row>
    <row r="5" customFormat="false" ht="23.85" hidden="false" customHeight="false" outlineLevel="0" collapsed="false">
      <c r="A5" s="7" t="n">
        <v>4</v>
      </c>
      <c r="B5" s="7" t="s">
        <v>20</v>
      </c>
      <c r="C5" s="7" t="s">
        <v>26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8" t="s">
        <v>7</v>
      </c>
      <c r="J5" s="8"/>
    </row>
    <row r="6" customFormat="false" ht="23.85" hidden="false" customHeight="false" outlineLevel="0" collapsed="false">
      <c r="A6" s="7" t="n">
        <v>5</v>
      </c>
      <c r="B6" s="7" t="s">
        <v>20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/>
      <c r="I6" s="8" t="s">
        <v>7</v>
      </c>
      <c r="J6" s="8"/>
    </row>
    <row r="7" customFormat="false" ht="15" hidden="false" customHeight="false" outlineLevel="0" collapsed="false">
      <c r="A7" s="7" t="n">
        <v>6</v>
      </c>
      <c r="B7" s="7" t="s">
        <v>20</v>
      </c>
      <c r="C7" s="7" t="s">
        <v>42</v>
      </c>
      <c r="D7" s="7" t="s">
        <v>47</v>
      </c>
      <c r="E7" s="7" t="s">
        <v>48</v>
      </c>
      <c r="F7" s="7" t="s">
        <v>49</v>
      </c>
      <c r="G7" s="7" t="s">
        <v>50</v>
      </c>
      <c r="H7" s="7"/>
      <c r="I7" s="8" t="s">
        <v>7</v>
      </c>
      <c r="J7" s="8"/>
    </row>
    <row r="8" customFormat="false" ht="15" hidden="false" customHeight="false" outlineLevel="0" collapsed="false">
      <c r="A8" s="7" t="n">
        <v>7</v>
      </c>
      <c r="B8" s="7" t="s">
        <v>20</v>
      </c>
      <c r="C8" s="7" t="s">
        <v>51</v>
      </c>
      <c r="D8" s="7" t="s">
        <v>52</v>
      </c>
      <c r="E8" s="7" t="s">
        <v>44</v>
      </c>
      <c r="F8" s="7" t="s">
        <v>53</v>
      </c>
      <c r="G8" s="7" t="s">
        <v>54</v>
      </c>
      <c r="H8" s="7"/>
      <c r="I8" s="8" t="s">
        <v>7</v>
      </c>
      <c r="J8" s="8"/>
    </row>
    <row r="9" customFormat="false" ht="23.85" hidden="false" customHeight="false" outlineLevel="0" collapsed="false">
      <c r="A9" s="7" t="n">
        <v>8</v>
      </c>
      <c r="B9" s="7" t="s">
        <v>20</v>
      </c>
      <c r="C9" s="7" t="s">
        <v>55</v>
      </c>
      <c r="D9" s="7" t="s">
        <v>56</v>
      </c>
      <c r="E9" s="7" t="s">
        <v>57</v>
      </c>
      <c r="F9" s="7" t="s">
        <v>58</v>
      </c>
      <c r="G9" s="7" t="s">
        <v>59</v>
      </c>
      <c r="H9" s="7" t="s">
        <v>60</v>
      </c>
      <c r="I9" s="8" t="s">
        <v>7</v>
      </c>
      <c r="J9" s="8"/>
    </row>
    <row r="10" customFormat="false" ht="23.85" hidden="false" customHeight="false" outlineLevel="0" collapsed="false">
      <c r="A10" s="7" t="n">
        <v>9</v>
      </c>
      <c r="B10" s="7" t="s">
        <v>20</v>
      </c>
      <c r="C10" s="7" t="s">
        <v>55</v>
      </c>
      <c r="D10" s="7" t="s">
        <v>61</v>
      </c>
      <c r="E10" s="7" t="s">
        <v>62</v>
      </c>
      <c r="F10" s="7" t="s">
        <v>58</v>
      </c>
      <c r="G10" s="7" t="s">
        <v>63</v>
      </c>
      <c r="H10" s="7"/>
      <c r="I10" s="8" t="s">
        <v>7</v>
      </c>
      <c r="J10" s="8"/>
    </row>
    <row r="11" customFormat="false" ht="15" hidden="false" customHeight="false" outlineLevel="0" collapsed="false">
      <c r="A11" s="7" t="n">
        <v>10</v>
      </c>
      <c r="B11" s="7" t="s">
        <v>20</v>
      </c>
      <c r="C11" s="7" t="s">
        <v>55</v>
      </c>
      <c r="D11" s="7" t="s">
        <v>64</v>
      </c>
      <c r="E11" s="7" t="s">
        <v>65</v>
      </c>
      <c r="F11" s="7" t="s">
        <v>58</v>
      </c>
      <c r="G11" s="7" t="s">
        <v>66</v>
      </c>
      <c r="H11" s="7"/>
      <c r="I11" s="8" t="s">
        <v>7</v>
      </c>
      <c r="J11" s="8"/>
    </row>
    <row r="12" customFormat="false" ht="23.85" hidden="false" customHeight="false" outlineLevel="0" collapsed="false">
      <c r="A12" s="7" t="n">
        <v>11</v>
      </c>
      <c r="B12" s="7" t="s">
        <v>20</v>
      </c>
      <c r="C12" s="7" t="s">
        <v>55</v>
      </c>
      <c r="D12" s="7" t="s">
        <v>67</v>
      </c>
      <c r="E12" s="7" t="s">
        <v>68</v>
      </c>
      <c r="F12" s="7" t="s">
        <v>58</v>
      </c>
      <c r="G12" s="7" t="s">
        <v>69</v>
      </c>
      <c r="H12" s="7"/>
      <c r="I12" s="8" t="s">
        <v>7</v>
      </c>
      <c r="J12" s="8"/>
    </row>
    <row r="13" customFormat="false" ht="23.85" hidden="false" customHeight="false" outlineLevel="0" collapsed="false">
      <c r="A13" s="7" t="n">
        <v>12</v>
      </c>
      <c r="B13" s="7" t="s">
        <v>20</v>
      </c>
      <c r="C13" s="7" t="s">
        <v>55</v>
      </c>
      <c r="D13" s="7" t="s">
        <v>70</v>
      </c>
      <c r="E13" s="7" t="s">
        <v>71</v>
      </c>
      <c r="F13" s="7" t="s">
        <v>58</v>
      </c>
      <c r="G13" s="7" t="s">
        <v>72</v>
      </c>
      <c r="H13" s="7"/>
      <c r="I13" s="8" t="s">
        <v>7</v>
      </c>
      <c r="J13" s="8"/>
    </row>
    <row r="14" customFormat="false" ht="23.85" hidden="false" customHeight="false" outlineLevel="0" collapsed="false">
      <c r="A14" s="7" t="n">
        <v>13</v>
      </c>
      <c r="B14" s="7" t="s">
        <v>20</v>
      </c>
      <c r="C14" s="7" t="s">
        <v>73</v>
      </c>
      <c r="D14" s="7" t="s">
        <v>74</v>
      </c>
      <c r="E14" s="7" t="s">
        <v>75</v>
      </c>
      <c r="F14" s="7" t="s">
        <v>76</v>
      </c>
      <c r="G14" s="7" t="s">
        <v>77</v>
      </c>
      <c r="H14" s="7"/>
      <c r="I14" s="8" t="s">
        <v>7</v>
      </c>
      <c r="J14" s="8"/>
    </row>
    <row r="15" customFormat="false" ht="23.85" hidden="false" customHeight="false" outlineLevel="0" collapsed="false">
      <c r="A15" s="7" t="n">
        <v>14</v>
      </c>
      <c r="B15" s="7" t="s">
        <v>20</v>
      </c>
      <c r="C15" s="7" t="s">
        <v>73</v>
      </c>
      <c r="D15" s="7" t="s">
        <v>78</v>
      </c>
      <c r="E15" s="7" t="s">
        <v>79</v>
      </c>
      <c r="F15" s="7" t="s">
        <v>80</v>
      </c>
      <c r="G15" s="7" t="s">
        <v>81</v>
      </c>
      <c r="H15" s="7"/>
      <c r="I15" s="8" t="s">
        <v>7</v>
      </c>
      <c r="J15" s="8"/>
    </row>
    <row r="16" customFormat="false" ht="23.85" hidden="false" customHeight="false" outlineLevel="0" collapsed="false">
      <c r="A16" s="7" t="n">
        <v>15</v>
      </c>
      <c r="B16" s="7" t="s">
        <v>82</v>
      </c>
      <c r="C16" s="7" t="s">
        <v>83</v>
      </c>
      <c r="D16" s="7" t="s">
        <v>84</v>
      </c>
      <c r="E16" s="7" t="s">
        <v>85</v>
      </c>
      <c r="F16" s="7" t="s">
        <v>86</v>
      </c>
      <c r="G16" s="7" t="s">
        <v>87</v>
      </c>
      <c r="H16" s="7"/>
      <c r="I16" s="8" t="s">
        <v>7</v>
      </c>
      <c r="J16" s="8"/>
    </row>
    <row r="17" customFormat="false" ht="35.05" hidden="false" customHeight="false" outlineLevel="0" collapsed="false">
      <c r="A17" s="7" t="n">
        <v>16</v>
      </c>
      <c r="B17" s="7" t="s">
        <v>82</v>
      </c>
      <c r="C17" s="7" t="s">
        <v>88</v>
      </c>
      <c r="D17" s="7" t="s">
        <v>89</v>
      </c>
      <c r="E17" s="7" t="s">
        <v>90</v>
      </c>
      <c r="F17" s="7" t="s">
        <v>91</v>
      </c>
      <c r="G17" s="7" t="s">
        <v>92</v>
      </c>
      <c r="H17" s="7" t="s">
        <v>93</v>
      </c>
      <c r="I17" s="8" t="s">
        <v>7</v>
      </c>
      <c r="J17" s="8"/>
    </row>
    <row r="18" customFormat="false" ht="23.85" hidden="false" customHeight="false" outlineLevel="0" collapsed="false">
      <c r="A18" s="7" t="n">
        <v>17</v>
      </c>
      <c r="B18" s="7" t="s">
        <v>82</v>
      </c>
      <c r="C18" s="7" t="s">
        <v>88</v>
      </c>
      <c r="D18" s="7" t="s">
        <v>94</v>
      </c>
      <c r="E18" s="7" t="s">
        <v>95</v>
      </c>
      <c r="F18" s="7" t="s">
        <v>96</v>
      </c>
      <c r="G18" s="7" t="s">
        <v>97</v>
      </c>
      <c r="H18" s="7" t="s">
        <v>98</v>
      </c>
      <c r="I18" s="8" t="s">
        <v>7</v>
      </c>
      <c r="J18" s="8"/>
    </row>
    <row r="19" customFormat="false" ht="23.85" hidden="false" customHeight="false" outlineLevel="0" collapsed="false">
      <c r="A19" s="7" t="n">
        <v>18</v>
      </c>
      <c r="B19" s="7" t="s">
        <v>82</v>
      </c>
      <c r="C19" s="7" t="s">
        <v>99</v>
      </c>
      <c r="D19" s="7" t="s">
        <v>100</v>
      </c>
      <c r="E19" s="7" t="s">
        <v>101</v>
      </c>
      <c r="F19" s="7" t="s">
        <v>102</v>
      </c>
      <c r="G19" s="7" t="s">
        <v>103</v>
      </c>
      <c r="H19" s="7"/>
      <c r="I19" s="8" t="s">
        <v>7</v>
      </c>
      <c r="J19" s="8"/>
    </row>
    <row r="20" customFormat="false" ht="23.85" hidden="false" customHeight="false" outlineLevel="0" collapsed="false">
      <c r="A20" s="7" t="n">
        <v>19</v>
      </c>
      <c r="B20" s="7" t="s">
        <v>82</v>
      </c>
      <c r="C20" s="7" t="s">
        <v>99</v>
      </c>
      <c r="D20" s="7" t="s">
        <v>104</v>
      </c>
      <c r="E20" s="7" t="s">
        <v>105</v>
      </c>
      <c r="F20" s="7" t="s">
        <v>106</v>
      </c>
      <c r="G20" s="7" t="s">
        <v>107</v>
      </c>
      <c r="H20" s="7" t="s">
        <v>108</v>
      </c>
      <c r="I20" s="8" t="s">
        <v>7</v>
      </c>
      <c r="J20" s="8"/>
    </row>
    <row r="21" customFormat="false" ht="23.85" hidden="false" customHeight="false" outlineLevel="0" collapsed="false">
      <c r="A21" s="7" t="n">
        <v>20</v>
      </c>
      <c r="B21" s="7" t="s">
        <v>82</v>
      </c>
      <c r="C21" s="7" t="s">
        <v>109</v>
      </c>
      <c r="D21" s="7" t="s">
        <v>110</v>
      </c>
      <c r="E21" s="7" t="s">
        <v>111</v>
      </c>
      <c r="F21" s="7" t="s">
        <v>112</v>
      </c>
      <c r="G21" s="7" t="s">
        <v>113</v>
      </c>
      <c r="H21" s="7" t="s">
        <v>114</v>
      </c>
      <c r="I21" s="8" t="s">
        <v>7</v>
      </c>
      <c r="J21" s="8"/>
    </row>
    <row r="22" customFormat="false" ht="23.85" hidden="false" customHeight="false" outlineLevel="0" collapsed="false">
      <c r="A22" s="7" t="n">
        <v>21</v>
      </c>
      <c r="B22" s="7" t="s">
        <v>82</v>
      </c>
      <c r="C22" s="7" t="s">
        <v>115</v>
      </c>
      <c r="D22" s="7" t="s">
        <v>116</v>
      </c>
      <c r="E22" s="7" t="s">
        <v>117</v>
      </c>
      <c r="F22" s="7" t="s">
        <v>118</v>
      </c>
      <c r="G22" s="7" t="s">
        <v>119</v>
      </c>
      <c r="H22" s="7" t="s">
        <v>120</v>
      </c>
      <c r="I22" s="8" t="s">
        <v>7</v>
      </c>
      <c r="J22" s="8"/>
    </row>
    <row r="23" customFormat="false" ht="15" hidden="false" customHeight="false" outlineLevel="0" collapsed="false">
      <c r="A23" s="7" t="n">
        <v>22</v>
      </c>
      <c r="B23" s="7" t="s">
        <v>82</v>
      </c>
      <c r="C23" s="7" t="s">
        <v>121</v>
      </c>
      <c r="D23" s="7" t="s">
        <v>122</v>
      </c>
      <c r="E23" s="7" t="s">
        <v>123</v>
      </c>
      <c r="F23" s="7" t="s">
        <v>124</v>
      </c>
      <c r="G23" s="7" t="s">
        <v>125</v>
      </c>
      <c r="H23" s="7"/>
      <c r="I23" s="8" t="s">
        <v>7</v>
      </c>
      <c r="J23" s="8"/>
    </row>
    <row r="24" customFormat="false" ht="23.85" hidden="false" customHeight="false" outlineLevel="0" collapsed="false">
      <c r="A24" s="7" t="n">
        <v>23</v>
      </c>
      <c r="B24" s="7" t="s">
        <v>20</v>
      </c>
      <c r="C24" s="7" t="s">
        <v>126</v>
      </c>
      <c r="D24" s="7" t="s">
        <v>127</v>
      </c>
      <c r="E24" s="7" t="s">
        <v>128</v>
      </c>
      <c r="F24" s="7" t="s">
        <v>129</v>
      </c>
      <c r="G24" s="7" t="s">
        <v>130</v>
      </c>
      <c r="H24" s="7" t="s">
        <v>131</v>
      </c>
      <c r="I24" s="8" t="s">
        <v>7</v>
      </c>
      <c r="J24" s="8"/>
    </row>
    <row r="25" customFormat="false" ht="15" hidden="false" customHeight="false" outlineLevel="0" collapsed="false">
      <c r="A25" s="7" t="n">
        <v>24</v>
      </c>
      <c r="B25" s="7" t="s">
        <v>82</v>
      </c>
      <c r="C25" s="7" t="s">
        <v>126</v>
      </c>
      <c r="D25" s="7" t="s">
        <v>132</v>
      </c>
      <c r="E25" s="7" t="s">
        <v>133</v>
      </c>
      <c r="F25" s="7" t="s">
        <v>134</v>
      </c>
      <c r="G25" s="7" t="s">
        <v>135</v>
      </c>
      <c r="H25" s="7"/>
      <c r="I25" s="8" t="s">
        <v>7</v>
      </c>
      <c r="J25" s="8"/>
    </row>
    <row r="26" customFormat="false" ht="15" hidden="false" customHeight="false" outlineLevel="0" collapsed="false">
      <c r="A26" s="7" t="n">
        <v>25</v>
      </c>
      <c r="B26" s="7" t="s">
        <v>82</v>
      </c>
      <c r="C26" s="7" t="s">
        <v>126</v>
      </c>
      <c r="D26" s="7" t="s">
        <v>136</v>
      </c>
      <c r="E26" s="7" t="s">
        <v>137</v>
      </c>
      <c r="F26" s="7" t="s">
        <v>138</v>
      </c>
      <c r="G26" s="7" t="s">
        <v>139</v>
      </c>
      <c r="H26" s="7"/>
      <c r="I26" s="8" t="s">
        <v>7</v>
      </c>
      <c r="J26" s="8"/>
    </row>
    <row r="27" customFormat="false" ht="23.85" hidden="false" customHeight="false" outlineLevel="0" collapsed="false">
      <c r="A27" s="7" t="n">
        <v>26</v>
      </c>
      <c r="B27" s="7" t="s">
        <v>82</v>
      </c>
      <c r="C27" s="7" t="s">
        <v>126</v>
      </c>
      <c r="D27" s="7" t="s">
        <v>140</v>
      </c>
      <c r="E27" s="7" t="s">
        <v>141</v>
      </c>
      <c r="F27" s="7" t="s">
        <v>142</v>
      </c>
      <c r="G27" s="7" t="s">
        <v>143</v>
      </c>
      <c r="H27" s="7"/>
      <c r="I27" s="8" t="s">
        <v>7</v>
      </c>
      <c r="J27" s="8"/>
    </row>
    <row r="28" customFormat="false" ht="23.85" hidden="false" customHeight="false" outlineLevel="0" collapsed="false">
      <c r="A28" s="7" t="n">
        <v>27</v>
      </c>
      <c r="B28" s="7" t="s">
        <v>82</v>
      </c>
      <c r="C28" s="7" t="s">
        <v>144</v>
      </c>
      <c r="D28" s="7" t="s">
        <v>145</v>
      </c>
      <c r="E28" s="7" t="s">
        <v>146</v>
      </c>
      <c r="F28" s="7" t="s">
        <v>147</v>
      </c>
      <c r="G28" s="7" t="s">
        <v>148</v>
      </c>
      <c r="H28" s="7"/>
      <c r="I28" s="8" t="s">
        <v>7</v>
      </c>
      <c r="J28" s="8"/>
    </row>
    <row r="29" customFormat="false" ht="23.85" hidden="false" customHeight="false" outlineLevel="0" collapsed="false">
      <c r="A29" s="7" t="n">
        <v>28</v>
      </c>
      <c r="B29" s="7" t="s">
        <v>82</v>
      </c>
      <c r="C29" s="7" t="s">
        <v>144</v>
      </c>
      <c r="D29" s="7" t="s">
        <v>149</v>
      </c>
      <c r="E29" s="7" t="s">
        <v>150</v>
      </c>
      <c r="F29" s="7" t="s">
        <v>151</v>
      </c>
      <c r="G29" s="7" t="s">
        <v>152</v>
      </c>
      <c r="H29" s="7" t="s">
        <v>153</v>
      </c>
      <c r="I29" s="8" t="s">
        <v>7</v>
      </c>
      <c r="J29" s="8"/>
    </row>
    <row r="30" customFormat="false" ht="15" hidden="false" customHeight="false" outlineLevel="0" collapsed="false">
      <c r="A30" s="7" t="n">
        <v>29</v>
      </c>
      <c r="B30" s="7" t="s">
        <v>82</v>
      </c>
      <c r="C30" s="7" t="s">
        <v>154</v>
      </c>
      <c r="D30" s="7" t="s">
        <v>155</v>
      </c>
      <c r="E30" s="7" t="s">
        <v>156</v>
      </c>
      <c r="F30" s="7" t="s">
        <v>157</v>
      </c>
      <c r="G30" s="7" t="s">
        <v>158</v>
      </c>
      <c r="H30" s="7" t="s">
        <v>108</v>
      </c>
      <c r="I30" s="8" t="s">
        <v>7</v>
      </c>
      <c r="J30" s="8"/>
    </row>
    <row r="31" customFormat="false" ht="15" hidden="false" customHeight="false" outlineLevel="0" collapsed="false">
      <c r="A31" s="7" t="n">
        <v>30</v>
      </c>
      <c r="B31" s="7" t="s">
        <v>82</v>
      </c>
      <c r="C31" s="7" t="s">
        <v>154</v>
      </c>
      <c r="D31" s="7" t="s">
        <v>159</v>
      </c>
      <c r="E31" s="7" t="s">
        <v>160</v>
      </c>
      <c r="F31" s="7" t="s">
        <v>161</v>
      </c>
      <c r="G31" s="7" t="s">
        <v>162</v>
      </c>
      <c r="H31" s="7"/>
      <c r="I31" s="8" t="s">
        <v>7</v>
      </c>
      <c r="J31" s="8"/>
    </row>
    <row r="32" customFormat="false" ht="23.85" hidden="false" customHeight="false" outlineLevel="0" collapsed="false">
      <c r="A32" s="7" t="n">
        <v>31</v>
      </c>
      <c r="B32" s="7" t="s">
        <v>82</v>
      </c>
      <c r="C32" s="7" t="s">
        <v>163</v>
      </c>
      <c r="D32" s="7" t="s">
        <v>164</v>
      </c>
      <c r="E32" s="7" t="s">
        <v>165</v>
      </c>
      <c r="F32" s="7" t="s">
        <v>166</v>
      </c>
      <c r="G32" s="7" t="s">
        <v>167</v>
      </c>
      <c r="H32" s="7"/>
      <c r="I32" s="8" t="s">
        <v>7</v>
      </c>
      <c r="J32" s="8"/>
    </row>
    <row r="33" customFormat="false" ht="57.45" hidden="false" customHeight="false" outlineLevel="0" collapsed="false">
      <c r="A33" s="7" t="n">
        <v>32</v>
      </c>
      <c r="B33" s="7" t="s">
        <v>168</v>
      </c>
      <c r="C33" s="7" t="s">
        <v>169</v>
      </c>
      <c r="D33" s="7" t="s">
        <v>170</v>
      </c>
      <c r="E33" s="7" t="s">
        <v>171</v>
      </c>
      <c r="F33" s="7" t="s">
        <v>172</v>
      </c>
      <c r="G33" s="7" t="s">
        <v>173</v>
      </c>
      <c r="H33" s="7"/>
      <c r="I33" s="8" t="s">
        <v>7</v>
      </c>
      <c r="J33" s="8"/>
    </row>
    <row r="34" customFormat="false" ht="23.85" hidden="false" customHeight="false" outlineLevel="0" collapsed="false">
      <c r="A34" s="7" t="n">
        <v>33</v>
      </c>
      <c r="B34" s="7" t="s">
        <v>168</v>
      </c>
      <c r="C34" s="7" t="s">
        <v>174</v>
      </c>
      <c r="D34" s="7" t="s">
        <v>175</v>
      </c>
      <c r="E34" s="7" t="s">
        <v>176</v>
      </c>
      <c r="F34" s="7" t="s">
        <v>177</v>
      </c>
      <c r="G34" s="7" t="s">
        <v>178</v>
      </c>
      <c r="H34" s="7"/>
      <c r="I34" s="8" t="s">
        <v>7</v>
      </c>
      <c r="J34" s="8"/>
    </row>
    <row r="35" customFormat="false" ht="15" hidden="false" customHeight="false" outlineLevel="0" collapsed="false">
      <c r="A35" s="7" t="n">
        <v>34</v>
      </c>
      <c r="B35" s="7" t="s">
        <v>168</v>
      </c>
      <c r="C35" s="7" t="s">
        <v>179</v>
      </c>
      <c r="D35" s="7" t="s">
        <v>180</v>
      </c>
      <c r="E35" s="7" t="s">
        <v>181</v>
      </c>
      <c r="F35" s="7" t="s">
        <v>182</v>
      </c>
      <c r="G35" s="7" t="s">
        <v>183</v>
      </c>
      <c r="H35" s="7"/>
      <c r="I35" s="8" t="s">
        <v>7</v>
      </c>
      <c r="J35" s="8"/>
    </row>
    <row r="36" customFormat="false" ht="23.85" hidden="false" customHeight="false" outlineLevel="0" collapsed="false">
      <c r="A36" s="7" t="n">
        <v>35</v>
      </c>
      <c r="B36" s="7" t="s">
        <v>168</v>
      </c>
      <c r="C36" s="7" t="s">
        <v>179</v>
      </c>
      <c r="D36" s="7" t="s">
        <v>184</v>
      </c>
      <c r="E36" s="7" t="s">
        <v>185</v>
      </c>
      <c r="F36" s="7" t="s">
        <v>186</v>
      </c>
      <c r="G36" s="7" t="s">
        <v>187</v>
      </c>
      <c r="H36" s="7"/>
      <c r="I36" s="8" t="s">
        <v>7</v>
      </c>
      <c r="J36" s="8"/>
    </row>
    <row r="37" customFormat="false" ht="15" hidden="false" customHeight="false" outlineLevel="0" collapsed="false">
      <c r="A37" s="7" t="n">
        <v>36</v>
      </c>
      <c r="B37" s="7" t="s">
        <v>168</v>
      </c>
      <c r="C37" s="7" t="s">
        <v>188</v>
      </c>
      <c r="D37" s="7" t="s">
        <v>189</v>
      </c>
      <c r="E37" s="7" t="s">
        <v>190</v>
      </c>
      <c r="F37" s="7" t="s">
        <v>191</v>
      </c>
      <c r="G37" s="7" t="s">
        <v>192</v>
      </c>
      <c r="H37" s="7"/>
      <c r="I37" s="8" t="s">
        <v>7</v>
      </c>
      <c r="J37" s="8"/>
    </row>
  </sheetData>
  <autoFilter ref="A1:J37"/>
  <conditionalFormatting sqref="I2:I37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"Partly"</formula>
    </cfRule>
  </conditionalFormatting>
  <dataValidations count="1">
    <dataValidation allowBlank="false" errorStyle="stop" operator="between" showDropDown="false" showErrorMessage="false" showInputMessage="false" sqref="I2:I37" type="list">
      <formula1>"Not tested,Pass,Fail,Partly"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2026-10-13T13:25:44Z</dcterms:created>
  <dc:creator>openpyxl</dc:creator>
  <dc:description/>
  <dc:language>en-US</dc:language>
  <cp:lastModifiedBy/>
  <dcterms:modified xsi:type="dcterms:W3CDTF">2026-10-13T13:25:44Z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